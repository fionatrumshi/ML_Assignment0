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fiona/Desktop/Desktop/Master_TU/3. Semester/Machine Learning/Assignment0/datasets/open+university+learning+analytics+dataset/"/>
    </mc:Choice>
  </mc:AlternateContent>
  <xr:revisionPtr revIDLastSave="0" documentId="13_ncr:1_{BAFE78BC-56E4-BE41-9ABE-87008A7D1089}" xr6:coauthVersionLast="47" xr6:coauthVersionMax="47" xr10:uidLastSave="{00000000-0000-0000-0000-000000000000}"/>
  <bookViews>
    <workbookView xWindow="0" yWindow="760" windowWidth="28560" windowHeight="16120" tabRatio="500" activeTab="1" xr2:uid="{00000000-000D-0000-FFFF-FFFF00000000}"/>
  </bookViews>
  <sheets>
    <sheet name="Overview" sheetId="1" r:id="rId1"/>
    <sheet name="Codebook" sheetId="2" r:id="rId2"/>
    <sheet name="Value Labels" sheetId="3" r:id="rId3"/>
    <sheet name="Tables &amp; Keys" sheetId="4" r:id="rId4"/>
    <sheet name="Class Distribution" sheetId="5" r:id="rId5"/>
  </sheets>
  <definedNames>
    <definedName name="_xlnm._FilterDatabase" localSheetId="1" hidden="1">Codebook!$A$1:$H$44</definedName>
    <definedName name="_xlnm._FilterDatabase" localSheetId="3" hidden="1">'Tables &amp; Keys'!$A$1:$E$8</definedName>
    <definedName name="_xlnm._FilterDatabase" localSheetId="2" hidden="1">'Value Labels'!$A$1:$C$77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 i="5" l="1"/>
  <c r="B9" i="5" s="1"/>
  <c r="C2" i="5" l="1"/>
  <c r="C3" i="5"/>
  <c r="C4" i="5"/>
  <c r="C5" i="5"/>
  <c r="C6" i="5" l="1"/>
</calcChain>
</file>

<file path=xl/sharedStrings.xml><?xml version="1.0" encoding="utf-8"?>
<sst xmlns="http://schemas.openxmlformats.org/spreadsheetml/2006/main" count="554" uniqueCount="282">
  <si>
    <t>Open University Learning Analytics Dataset (OULAD) — Codebook</t>
  </si>
  <si>
    <t>Owner</t>
  </si>
  <si>
    <t>The Open University, Walton Hall, Milton Keynes, MK7 6AA, UK (contact: Zdenek Zdrahal)</t>
  </si>
  <si>
    <t>Donors</t>
  </si>
  <si>
    <t>Jakub Kuzilek, Martin Hlosta, Zdenek Zdrahal — Knowledge Media Institute, The Open University; CIIRC, CTU in Prague</t>
  </si>
  <si>
    <t>Date received</t>
  </si>
  <si>
    <t>December 2015</t>
  </si>
  <si>
    <t>Description</t>
  </si>
  <si>
    <t>Data about courses, students and their interactions with the Virtual Learning Environment (VLE) for seven selected courses (modules). Presentations start in February ("B") and October ("J"). Tables are linked by unique identifiers and stored as CSV files.</t>
  </si>
  <si>
    <t>More information</t>
  </si>
  <si>
    <t>https://analyse.kmi.open.ac.uk/open_dataset</t>
  </si>
  <si>
    <t>Number of attributes</t>
  </si>
  <si>
    <t>43</t>
  </si>
  <si>
    <t>Missing values</t>
  </si>
  <si>
    <t>Yes — see 'Missing / notes' column on the Codebook sheet</t>
  </si>
  <si>
    <t>Sheets in this workbook</t>
  </si>
  <si>
    <t>Codebook (every variable) · Value Labels (categories for nominal variables) · Tables &amp; Keys (files and how they join) · Class Distribution (final_result)</t>
  </si>
  <si>
    <t>Number of instances</t>
  </si>
  <si>
    <t>Entity</t>
  </si>
  <si>
    <t>Count</t>
  </si>
  <si>
    <t>Students in courses</t>
  </si>
  <si>
    <t>Course-presentations</t>
  </si>
  <si>
    <t>VLE pages</t>
  </si>
  <si>
    <t>VLE log entries</t>
  </si>
  <si>
    <t>Registration entries</t>
  </si>
  <si>
    <t>Assessments</t>
  </si>
  <si>
    <t>Assessment entries</t>
  </si>
  <si>
    <t>Table (file)</t>
  </si>
  <si>
    <t>Variable</t>
  </si>
  <si>
    <t>Data type</t>
  </si>
  <si>
    <t>Unit</t>
  </si>
  <si>
    <t>Values / range</t>
  </si>
  <si>
    <t>Key role</t>
  </si>
  <si>
    <t>Missing / notes</t>
  </si>
  <si>
    <t>courses.csv</t>
  </si>
  <si>
    <t>code_module</t>
  </si>
  <si>
    <t>Nominal</t>
  </si>
  <si>
    <t>—</t>
  </si>
  <si>
    <t>Code name of the module; serves as the identifier</t>
  </si>
  <si>
    <t>AAA–GGG (7 modules)</t>
  </si>
  <si>
    <t>Key (with code_presentation)</t>
  </si>
  <si>
    <t>code_presentation</t>
  </si>
  <si>
    <t>Code name of the presentation: year + "B" (starts February) or "J" (starts October)</t>
  </si>
  <si>
    <t>e.g. 2013B, 2013J, 2014B, 2014J</t>
  </si>
  <si>
    <t>Key (with code_module)</t>
  </si>
  <si>
    <t>length</t>
  </si>
  <si>
    <t>Integer</t>
  </si>
  <si>
    <t>Days</t>
  </si>
  <si>
    <t>Length of the module-presentation in days</t>
  </si>
  <si>
    <t>assessments.csv</t>
  </si>
  <si>
    <t>Identification code of the module to which the assessment belongs</t>
  </si>
  <si>
    <t>AAA–GGG</t>
  </si>
  <si>
    <t>Foreign key → courses</t>
  </si>
  <si>
    <t>Identification code of the presentation to which the assessment belongs</t>
  </si>
  <si>
    <t>id_assessment</t>
  </si>
  <si>
    <t>Identification number of the assessment</t>
  </si>
  <si>
    <t>Primary key</t>
  </si>
  <si>
    <t>assessment_type</t>
  </si>
  <si>
    <t>Type of assessment</t>
  </si>
  <si>
    <t>TMA, CMA, Exam (see Value Labels)</t>
  </si>
  <si>
    <t>date</t>
  </si>
  <si>
    <t>Final submission date, as days since the start of the module-presentation (start = day 0)</t>
  </si>
  <si>
    <t>May be missing (commonly for final exams)</t>
  </si>
  <si>
    <t>weight</t>
  </si>
  <si>
    <t>%</t>
  </si>
  <si>
    <t>Weight of the assessment in %. Exams typically weigh 100% on their own; all other assessments sum to 100%</t>
  </si>
  <si>
    <t>0–100</t>
  </si>
  <si>
    <t>vle.csv</t>
  </si>
  <si>
    <t>id_site</t>
  </si>
  <si>
    <t>Identification number of the material</t>
  </si>
  <si>
    <t>Identification code for module</t>
  </si>
  <si>
    <t>Identification code of presentation</t>
  </si>
  <si>
    <t>activity_type</t>
  </si>
  <si>
    <t>The role associated with the module material</t>
  </si>
  <si>
    <t>See Value Labels</t>
  </si>
  <si>
    <t>week_from</t>
  </si>
  <si>
    <t>Week</t>
  </si>
  <si>
    <t>Week from which the material is planned to be used</t>
  </si>
  <si>
    <t>Largely missing</t>
  </si>
  <si>
    <t>week_to</t>
  </si>
  <si>
    <t>Week until which the material is planned to be used</t>
  </si>
  <si>
    <t>studentInfo.csv</t>
  </si>
  <si>
    <t>Identification code for the module the student is registered on</t>
  </si>
  <si>
    <t>Key (with code_presentation, id_student)</t>
  </si>
  <si>
    <t>Identification code of the presentation during which the student is registered</t>
  </si>
  <si>
    <t>Key</t>
  </si>
  <si>
    <t>id_student</t>
  </si>
  <si>
    <t>Unique identification number for the student</t>
  </si>
  <si>
    <t>gender</t>
  </si>
  <si>
    <t>The student's gender</t>
  </si>
  <si>
    <t>M, F</t>
  </si>
  <si>
    <t>region</t>
  </si>
  <si>
    <t>Geographic region where the student lived while taking the module-presentation</t>
  </si>
  <si>
    <t>13 UK regions (see Value Labels)</t>
  </si>
  <si>
    <t>highest_education</t>
  </si>
  <si>
    <t>Highest education level on entry to the module-presentation</t>
  </si>
  <si>
    <t>imd_band</t>
  </si>
  <si>
    <t>Ordinal</t>
  </si>
  <si>
    <t>Index of Multiple Deprivation band of the place where the student lived during the module-presentation</t>
  </si>
  <si>
    <t>0-10% … 90-100%</t>
  </si>
  <si>
    <t>Missing values present ("?" or blank)</t>
  </si>
  <si>
    <t>age_band</t>
  </si>
  <si>
    <t>Band of the student's age</t>
  </si>
  <si>
    <t>0-35, 35-55, 55&lt;=</t>
  </si>
  <si>
    <t>num_of_prev_attempts</t>
  </si>
  <si>
    <t>Number of times the student has attempted this module</t>
  </si>
  <si>
    <t>0+</t>
  </si>
  <si>
    <t>studied_credits</t>
  </si>
  <si>
    <t>Credits</t>
  </si>
  <si>
    <t>Total credits for the modules the student is currently studying</t>
  </si>
  <si>
    <t>disability</t>
  </si>
  <si>
    <t>Whether the student has declared a disability</t>
  </si>
  <si>
    <t>Y, N</t>
  </si>
  <si>
    <t>final_result</t>
  </si>
  <si>
    <t>Student's final result in the module-presentation (class/outcome variable)</t>
  </si>
  <si>
    <t>Distinction, Pass, Fail, Withdrawn</t>
  </si>
  <si>
    <t>Outcome</t>
  </si>
  <si>
    <t>studentRegistration.csv</t>
  </si>
  <si>
    <t>Identification code for a module</t>
  </si>
  <si>
    <t>Identification code of the presentation</t>
  </si>
  <si>
    <t>date_registration</t>
  </si>
  <si>
    <t>Date of registration relative to the start of the module-presentation (e.g. -30 = registered 30 days before start)</t>
  </si>
  <si>
    <t>Negative = before start</t>
  </si>
  <si>
    <t>May be missing</t>
  </si>
  <si>
    <t>date_unregistration</t>
  </si>
  <si>
    <t>Date of unregistration relative to the start of the module-presentation</t>
  </si>
  <si>
    <t>Empty for students who completed the course; students with a value have final_result = Withdrawn</t>
  </si>
  <si>
    <t>studentAssessment.csv</t>
  </si>
  <si>
    <t>Foreign key → assessments</t>
  </si>
  <si>
    <t>Foreign key → studentInfo</t>
  </si>
  <si>
    <t>date_submitted</t>
  </si>
  <si>
    <t>Date of submission, as days since the start of the module-presentation</t>
  </si>
  <si>
    <t>is_banked</t>
  </si>
  <si>
    <t>Integer (flag)</t>
  </si>
  <si>
    <t>Indicates the assessment result was transferred from a previous presentation</t>
  </si>
  <si>
    <t>0 = No, 1 = Yes</t>
  </si>
  <si>
    <t>score</t>
  </si>
  <si>
    <t>Points</t>
  </si>
  <si>
    <t>The student's score in this assessment</t>
  </si>
  <si>
    <t>0–100; &lt;40 = Fail</t>
  </si>
  <si>
    <t>studentVle.csv</t>
  </si>
  <si>
    <t>Identification code of the module-presentation</t>
  </si>
  <si>
    <t>Identification number for the VLE material</t>
  </si>
  <si>
    <t>Foreign key → vle</t>
  </si>
  <si>
    <t>Date of the student's interaction with the material, as days since the start of the module-presentation</t>
  </si>
  <si>
    <t>sum_click</t>
  </si>
  <si>
    <t>Clicks</t>
  </si>
  <si>
    <t>Number of times the student interacted with the material on that day</t>
  </si>
  <si>
    <t>1+</t>
  </si>
  <si>
    <t>Value / code</t>
  </si>
  <si>
    <t>Label / meaning</t>
  </si>
  <si>
    <t>AAA</t>
  </si>
  <si>
    <t>Module AAA — Social Sciences domain</t>
  </si>
  <si>
    <t>BBB</t>
  </si>
  <si>
    <t>Module BBB — Social Sciences domain</t>
  </si>
  <si>
    <t>CCC</t>
  </si>
  <si>
    <t>Module CCC — STEM domain</t>
  </si>
  <si>
    <t>DDD</t>
  </si>
  <si>
    <t>Module DDD — STEM domain</t>
  </si>
  <si>
    <t>EEE</t>
  </si>
  <si>
    <t>Module EEE — STEM domain</t>
  </si>
  <si>
    <t>FFF</t>
  </si>
  <si>
    <t>Module FFF — STEM domain</t>
  </si>
  <si>
    <t>GGG</t>
  </si>
  <si>
    <t>Module GGG — Social Sciences domain</t>
  </si>
  <si>
    <t>2013B</t>
  </si>
  <si>
    <t>2013, February start</t>
  </si>
  <si>
    <t>2013J</t>
  </si>
  <si>
    <t>2013, October start</t>
  </si>
  <si>
    <t>2014B</t>
  </si>
  <si>
    <t>2014, February start</t>
  </si>
  <si>
    <t>2014J</t>
  </si>
  <si>
    <t>2014, October start</t>
  </si>
  <si>
    <t>TMA</t>
  </si>
  <si>
    <t>Tutor Marked Assessment</t>
  </si>
  <si>
    <t>CMA</t>
  </si>
  <si>
    <t>Computer Marked Assessment</t>
  </si>
  <si>
    <t>Exam</t>
  </si>
  <si>
    <t>Final exam</t>
  </si>
  <si>
    <t>M</t>
  </si>
  <si>
    <t>Male</t>
  </si>
  <si>
    <t>F</t>
  </si>
  <si>
    <t>Female</t>
  </si>
  <si>
    <t>East Anglian Region</t>
  </si>
  <si>
    <t>East Midlands Region</t>
  </si>
  <si>
    <t>Ireland</t>
  </si>
  <si>
    <t>London Region</t>
  </si>
  <si>
    <t>North Region</t>
  </si>
  <si>
    <t>North Western Region</t>
  </si>
  <si>
    <t>Scotland</t>
  </si>
  <si>
    <t>South East Region</t>
  </si>
  <si>
    <t>South Region</t>
  </si>
  <si>
    <t>South West Region</t>
  </si>
  <si>
    <t>Wales</t>
  </si>
  <si>
    <t>West Midlands Region</t>
  </si>
  <si>
    <t>Yorkshire Region</t>
  </si>
  <si>
    <t>No Formal quals</t>
  </si>
  <si>
    <t>Ordered lowest → highest</t>
  </si>
  <si>
    <t>Lower Than A Level</t>
  </si>
  <si>
    <t>A Level or Equivalent</t>
  </si>
  <si>
    <t>HE Qualification</t>
  </si>
  <si>
    <t>Post Graduate Qualification</t>
  </si>
  <si>
    <t>0-10%</t>
  </si>
  <si>
    <t>0-10% = most deprived</t>
  </si>
  <si>
    <t>10-20%</t>
  </si>
  <si>
    <t>20-30%</t>
  </si>
  <si>
    <t>30-40%</t>
  </si>
  <si>
    <t>40-50%</t>
  </si>
  <si>
    <t>50-60%</t>
  </si>
  <si>
    <t>60-70%</t>
  </si>
  <si>
    <t>70-80%</t>
  </si>
  <si>
    <t>80-90%</t>
  </si>
  <si>
    <t>90-100%</t>
  </si>
  <si>
    <t>90-100% = least deprived</t>
  </si>
  <si>
    <t>? / blank</t>
  </si>
  <si>
    <t>Missing</t>
  </si>
  <si>
    <t>0-35</t>
  </si>
  <si>
    <t>Years</t>
  </si>
  <si>
    <t>35-55</t>
  </si>
  <si>
    <t>55&lt;=</t>
  </si>
  <si>
    <t>Y</t>
  </si>
  <si>
    <t>Disability declared</t>
  </si>
  <si>
    <t>N</t>
  </si>
  <si>
    <t>No disability declared</t>
  </si>
  <si>
    <t>Distinction</t>
  </si>
  <si>
    <t>Passed with distinction</t>
  </si>
  <si>
    <t>Pass</t>
  </si>
  <si>
    <t>Passed</t>
  </si>
  <si>
    <t>Fail</t>
  </si>
  <si>
    <t>Failed</t>
  </si>
  <si>
    <t>Withdrawn</t>
  </si>
  <si>
    <t>Unregistered before the end of the presentation</t>
  </si>
  <si>
    <t>Not banked</t>
  </si>
  <si>
    <t>Result transferred from a previous presentation</t>
  </si>
  <si>
    <t>dataplus</t>
  </si>
  <si>
    <t>VLE material type</t>
  </si>
  <si>
    <t>dualpane</t>
  </si>
  <si>
    <t>externalquiz</t>
  </si>
  <si>
    <t>folder</t>
  </si>
  <si>
    <t>forumng</t>
  </si>
  <si>
    <t>glossary</t>
  </si>
  <si>
    <t>homepage</t>
  </si>
  <si>
    <t>htmlactivity</t>
  </si>
  <si>
    <t>oucollaborate</t>
  </si>
  <si>
    <t>oucontent</t>
  </si>
  <si>
    <t>ouelluminate</t>
  </si>
  <si>
    <t>ouwiki</t>
  </si>
  <si>
    <t>page</t>
  </si>
  <si>
    <t>questionnaire</t>
  </si>
  <si>
    <t>quiz</t>
  </si>
  <si>
    <t>repeatactivity</t>
  </si>
  <si>
    <t>resource</t>
  </si>
  <si>
    <t>sharedsubpage</t>
  </si>
  <si>
    <t>subpage</t>
  </si>
  <si>
    <t>url</t>
  </si>
  <si>
    <t>Note: category lists come from the public OULAD release, not the .names file, which only names these variables. Some imd_band values may appear without the % sign in the raw CSV (e.g. "10-20"); check against the data before recoding.</t>
  </si>
  <si>
    <t>File</t>
  </si>
  <si>
    <t>Contents</t>
  </si>
  <si>
    <t>Rows</t>
  </si>
  <si>
    <t>Primary / unique key</t>
  </si>
  <si>
    <t>Joins to</t>
  </si>
  <si>
    <t>Module-presentations offered</t>
  </si>
  <si>
    <t>code_module + code_presentation</t>
  </si>
  <si>
    <t>Assessments within each module-presentation</t>
  </si>
  <si>
    <t>code_module + code_presentation → courses</t>
  </si>
  <si>
    <t>VLE materials available</t>
  </si>
  <si>
    <t>Student demographics and final result</t>
  </si>
  <si>
    <t>code_module + code_presentation + id_student</t>
  </si>
  <si>
    <t>Registration and unregistration dates</t>
  </si>
  <si>
    <t>→ studentInfo (same composite key)</t>
  </si>
  <si>
    <t>Student results per assessment</t>
  </si>
  <si>
    <t>id_assessment + id_student</t>
  </si>
  <si>
    <t>id_assessment → assessments; id_student → studentInfo</t>
  </si>
  <si>
    <t>Daily student clicks on VLE materials</t>
  </si>
  <si>
    <t>(none — log table)</t>
  </si>
  <si>
    <t>id_site → vle; code_module + code_presentation + id_student → studentInfo</t>
  </si>
  <si>
    <t>Note: id_student is unique per student, but a student can appear in more than one module-presentation, so joins to studentInfo should use the full composite key where available.</t>
  </si>
  <si>
    <t>Share</t>
  </si>
  <si>
    <t>Total</t>
  </si>
  <si>
    <t>Stated students in courses</t>
  </si>
  <si>
    <t>Difference</t>
  </si>
  <si>
    <t>Source: counts are from section 9 of the dataset's .names file. That file states 32,953 students in section 5 but lists a total of 32,593 in section 9; the four class counts sum to 32,593, so the 32,953 figure (or one class count) likely contains a transposition. Verify against studentInfo.csv.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</si>
</sst>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1F4E78"/>
      <name val="Arial"/>
      <family val="2"/>
    </font>
    <font>
      <b/>
      <sz val="10"/>
      <name val="Arial"/>
      <family val="2"/>
    </font>
    <font>
      <sz val="10"/>
      <name val="Arial"/>
      <family val="2"/>
    </font>
    <font>
      <b/>
      <sz val="11"/>
      <color rgb="FF1F4E78"/>
      <name val="Arial"/>
      <family val="2"/>
    </font>
    <font>
      <b/>
      <sz val="10"/>
      <color rgb="FFFFFFFF"/>
      <name val="Arial"/>
      <family val="2"/>
    </font>
    <font>
      <i/>
      <sz val="9"/>
      <name val="Arial"/>
      <family val="2"/>
    </font>
    <font>
      <sz val="10"/>
      <color rgb="FF0000FF"/>
      <name val="Arial"/>
      <family val="2"/>
    </font>
  </fonts>
  <fills count="19">
    <fill>
      <patternFill patternType="none"/>
    </fill>
    <fill>
      <patternFill patternType="gray125"/>
    </fill>
    <fill>
      <patternFill patternType="solid">
        <fgColor rgb="FF1F4E78"/>
        <bgColor rgb="FF003366"/>
      </patternFill>
    </fill>
    <fill>
      <patternFill patternType="solid">
        <fgColor rgb="FFEAF1F8"/>
        <bgColor rgb="FFFFFFFF"/>
      </patternFill>
    </fill>
    <fill>
      <patternFill patternType="solid">
        <fgColor rgb="FFFFF2CC"/>
        <bgColor rgb="FFEAF1F8"/>
      </patternFill>
    </fill>
    <fill>
      <patternFill patternType="solid">
        <fgColor rgb="FFFFFF00"/>
        <bgColor rgb="FFFFFFFF"/>
      </patternFill>
    </fill>
    <fill>
      <patternFill patternType="solid">
        <fgColor rgb="FFFFFF00"/>
        <bgColor indexed="64"/>
      </patternFill>
    </fill>
    <fill>
      <patternFill patternType="solid">
        <fgColor rgb="FF00B0F0"/>
        <bgColor rgb="FFFFFFFF"/>
      </patternFill>
    </fill>
    <fill>
      <patternFill patternType="solid">
        <fgColor rgb="FF00B0F0"/>
        <bgColor indexed="64"/>
      </patternFill>
    </fill>
    <fill>
      <patternFill patternType="solid">
        <fgColor rgb="FF92D050"/>
        <bgColor indexed="64"/>
      </patternFill>
    </fill>
    <fill>
      <patternFill patternType="solid">
        <fgColor rgb="FF92D050"/>
        <bgColor rgb="FFFFFFFF"/>
      </patternFill>
    </fill>
    <fill>
      <patternFill patternType="solid">
        <fgColor theme="5" tint="0.59999389629810485"/>
        <bgColor rgb="FFFFFFFF"/>
      </patternFill>
    </fill>
    <fill>
      <patternFill patternType="solid">
        <fgColor theme="9" tint="0.39997558519241921"/>
        <bgColor indexed="64"/>
      </patternFill>
    </fill>
    <fill>
      <patternFill patternType="solid">
        <fgColor theme="7" tint="0.39997558519241921"/>
        <bgColor rgb="FFFFFFFF"/>
      </patternFill>
    </fill>
    <fill>
      <patternFill patternType="solid">
        <fgColor theme="6" tint="0.59999389629810485"/>
        <bgColor indexed="64"/>
      </patternFill>
    </fill>
    <fill>
      <patternFill patternType="solid">
        <fgColor theme="2" tint="-0.249977111117893"/>
        <bgColor rgb="FFFFFFFF"/>
      </patternFill>
    </fill>
    <fill>
      <patternFill patternType="solid">
        <fgColor theme="4" tint="0.39997558519241921"/>
        <bgColor indexed="64"/>
      </patternFill>
    </fill>
    <fill>
      <patternFill patternType="solid">
        <fgColor theme="0" tint="-0.34998626667073579"/>
        <bgColor rgb="FFFFFFFF"/>
      </patternFill>
    </fill>
    <fill>
      <patternFill patternType="solid">
        <fgColor theme="9" tint="-0.24997711111789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6" fillId="4" borderId="0" xfId="0" applyFont="1" applyFill="1" applyAlignment="1">
      <alignment vertical="top" wrapText="1"/>
    </xf>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1" xfId="0" applyFont="1" applyFill="1" applyBorder="1"/>
    <xf numFmtId="0" fontId="3" fillId="0" borderId="1" xfId="0" applyFont="1" applyBorder="1"/>
    <xf numFmtId="3" fontId="3" fillId="0" borderId="1" xfId="0" applyNumberFormat="1" applyFont="1" applyBorder="1" applyAlignment="1">
      <alignment horizontal="left"/>
    </xf>
    <xf numFmtId="0" fontId="5" fillId="2" borderId="1" xfId="0" applyFont="1" applyFill="1" applyBorder="1" applyAlignment="1">
      <alignment vertical="center" wrapText="1"/>
    </xf>
    <xf numFmtId="0" fontId="3" fillId="3" borderId="1" xfId="0" applyFont="1" applyFill="1" applyBorder="1" applyAlignment="1">
      <alignment vertical="top" wrapText="1"/>
    </xf>
    <xf numFmtId="0" fontId="3" fillId="0" borderId="1" xfId="0" applyFont="1" applyBorder="1" applyAlignment="1">
      <alignment vertical="top" wrapText="1"/>
    </xf>
    <xf numFmtId="3" fontId="3" fillId="0" borderId="1" xfId="0" applyNumberFormat="1" applyFont="1" applyBorder="1" applyAlignment="1">
      <alignment vertical="top" wrapText="1"/>
    </xf>
    <xf numFmtId="164" fontId="3" fillId="0" borderId="1" xfId="0" applyNumberFormat="1" applyFont="1" applyBorder="1" applyAlignment="1">
      <alignment vertical="top" wrapText="1"/>
    </xf>
    <xf numFmtId="0" fontId="2" fillId="0" borderId="1" xfId="0" applyFont="1" applyBorder="1"/>
    <xf numFmtId="3" fontId="2" fillId="0" borderId="1" xfId="0" applyNumberFormat="1" applyFont="1" applyBorder="1"/>
    <xf numFmtId="164" fontId="2" fillId="0" borderId="1" xfId="0" applyNumberFormat="1" applyFont="1" applyBorder="1"/>
    <xf numFmtId="0" fontId="3" fillId="0" borderId="0" xfId="0" applyFont="1"/>
    <xf numFmtId="3" fontId="7" fillId="0" borderId="0" xfId="0" applyNumberFormat="1" applyFont="1"/>
    <xf numFmtId="3" fontId="0" fillId="0" borderId="0" xfId="0" applyNumberFormat="1"/>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0" fontId="3" fillId="16" borderId="1" xfId="0" applyFont="1" applyFill="1" applyBorder="1" applyAlignment="1">
      <alignment vertical="top" wrapText="1"/>
    </xf>
    <xf numFmtId="0" fontId="3" fillId="17" borderId="1" xfId="0" applyFont="1" applyFill="1" applyBorder="1" applyAlignment="1">
      <alignment vertical="top" wrapText="1"/>
    </xf>
    <xf numFmtId="0" fontId="3" fillId="0" borderId="1" xfId="0" applyFont="1" applyFill="1" applyBorder="1" applyAlignment="1">
      <alignment vertical="top" wrapText="1"/>
    </xf>
    <xf numFmtId="0" fontId="3" fillId="1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showGridLines="0" zoomScaleNormal="100" workbookViewId="0">
      <selection activeCell="B24" sqref="B24"/>
    </sheetView>
  </sheetViews>
  <sheetFormatPr baseColWidth="10" defaultColWidth="8.6640625" defaultRowHeight="15" x14ac:dyDescent="0.2"/>
  <cols>
    <col min="1" max="1" width="24" customWidth="1"/>
    <col min="2" max="2" width="100" customWidth="1"/>
  </cols>
  <sheetData>
    <row r="1" spans="1:2" ht="18" x14ac:dyDescent="0.2">
      <c r="A1" s="2" t="s">
        <v>0</v>
      </c>
    </row>
    <row r="3" spans="1:2" x14ac:dyDescent="0.2">
      <c r="A3" s="3" t="s">
        <v>1</v>
      </c>
      <c r="B3" s="4" t="s">
        <v>2</v>
      </c>
    </row>
    <row r="4" spans="1:2" x14ac:dyDescent="0.2">
      <c r="A4" s="3" t="s">
        <v>3</v>
      </c>
      <c r="B4" s="4" t="s">
        <v>4</v>
      </c>
    </row>
    <row r="5" spans="1:2" x14ac:dyDescent="0.2">
      <c r="A5" s="3" t="s">
        <v>5</v>
      </c>
      <c r="B5" s="4" t="s">
        <v>6</v>
      </c>
    </row>
    <row r="6" spans="1:2" ht="42" x14ac:dyDescent="0.2">
      <c r="A6" s="3" t="s">
        <v>7</v>
      </c>
      <c r="B6" s="4" t="s">
        <v>8</v>
      </c>
    </row>
    <row r="7" spans="1:2" x14ac:dyDescent="0.2">
      <c r="A7" s="3" t="s">
        <v>9</v>
      </c>
      <c r="B7" s="4" t="s">
        <v>10</v>
      </c>
    </row>
    <row r="8" spans="1:2" x14ac:dyDescent="0.2">
      <c r="A8" s="3" t="s">
        <v>11</v>
      </c>
      <c r="B8" s="4" t="s">
        <v>12</v>
      </c>
    </row>
    <row r="9" spans="1:2" x14ac:dyDescent="0.2">
      <c r="A9" s="3" t="s">
        <v>13</v>
      </c>
      <c r="B9" s="4" t="s">
        <v>14</v>
      </c>
    </row>
    <row r="10" spans="1:2" ht="28" x14ac:dyDescent="0.2">
      <c r="A10" s="3" t="s">
        <v>15</v>
      </c>
      <c r="B10" s="4" t="s">
        <v>16</v>
      </c>
    </row>
    <row r="12" spans="1:2" x14ac:dyDescent="0.2">
      <c r="A12" s="5" t="s">
        <v>17</v>
      </c>
    </row>
    <row r="13" spans="1:2" x14ac:dyDescent="0.2">
      <c r="A13" s="6" t="s">
        <v>18</v>
      </c>
      <c r="B13" s="6" t="s">
        <v>19</v>
      </c>
    </row>
    <row r="14" spans="1:2" x14ac:dyDescent="0.2">
      <c r="A14" s="7" t="s">
        <v>20</v>
      </c>
      <c r="B14" s="8">
        <v>32953</v>
      </c>
    </row>
    <row r="15" spans="1:2" x14ac:dyDescent="0.2">
      <c r="A15" s="7" t="s">
        <v>21</v>
      </c>
      <c r="B15" s="8">
        <v>22</v>
      </c>
    </row>
    <row r="16" spans="1:2" x14ac:dyDescent="0.2">
      <c r="A16" s="7" t="s">
        <v>22</v>
      </c>
      <c r="B16" s="8">
        <v>6364</v>
      </c>
    </row>
    <row r="17" spans="1:2" x14ac:dyDescent="0.2">
      <c r="A17" s="7" t="s">
        <v>23</v>
      </c>
      <c r="B17" s="8">
        <v>10655280</v>
      </c>
    </row>
    <row r="18" spans="1:2" x14ac:dyDescent="0.2">
      <c r="A18" s="7" t="s">
        <v>24</v>
      </c>
      <c r="B18" s="8">
        <v>32953</v>
      </c>
    </row>
    <row r="19" spans="1:2" x14ac:dyDescent="0.2">
      <c r="A19" s="7" t="s">
        <v>25</v>
      </c>
      <c r="B19" s="8">
        <v>206</v>
      </c>
    </row>
    <row r="20" spans="1:2" x14ac:dyDescent="0.2">
      <c r="A20" s="7" t="s">
        <v>26</v>
      </c>
      <c r="B20" s="8">
        <v>173912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
  <sheetViews>
    <sheetView showGridLines="0" tabSelected="1" zoomScaleNormal="100" workbookViewId="0">
      <pane ySplit="1" topLeftCell="A2" activePane="bottomLeft" state="frozen"/>
      <selection pane="bottomLeft" activeCell="F9" sqref="F9"/>
    </sheetView>
  </sheetViews>
  <sheetFormatPr baseColWidth="10" defaultColWidth="8.6640625" defaultRowHeight="15" x14ac:dyDescent="0.2"/>
  <cols>
    <col min="1" max="2" width="22" customWidth="1"/>
    <col min="3" max="3" width="13" customWidth="1"/>
    <col min="4" max="4" width="9" customWidth="1"/>
    <col min="5" max="5" width="77.6640625" customWidth="1"/>
    <col min="6" max="6" width="30" customWidth="1"/>
    <col min="7" max="7" width="26" customWidth="1"/>
    <col min="8" max="8" width="34" customWidth="1"/>
  </cols>
  <sheetData>
    <row r="1" spans="1:8" x14ac:dyDescent="0.2">
      <c r="A1" s="9" t="s">
        <v>27</v>
      </c>
      <c r="B1" s="9" t="s">
        <v>28</v>
      </c>
      <c r="C1" s="9" t="s">
        <v>29</v>
      </c>
      <c r="D1" s="9" t="s">
        <v>30</v>
      </c>
      <c r="E1" s="9" t="s">
        <v>7</v>
      </c>
      <c r="F1" s="9" t="s">
        <v>31</v>
      </c>
      <c r="G1" s="9" t="s">
        <v>32</v>
      </c>
      <c r="H1" s="9" t="s">
        <v>33</v>
      </c>
    </row>
    <row r="2" spans="1:8" x14ac:dyDescent="0.2">
      <c r="A2" s="26" t="s">
        <v>34</v>
      </c>
      <c r="B2" s="20" t="s">
        <v>35</v>
      </c>
      <c r="C2" s="20" t="s">
        <v>36</v>
      </c>
      <c r="D2" s="20" t="s">
        <v>37</v>
      </c>
      <c r="E2" s="20" t="s">
        <v>38</v>
      </c>
      <c r="F2" s="33" t="s">
        <v>39</v>
      </c>
      <c r="G2" s="33" t="s">
        <v>40</v>
      </c>
      <c r="H2" s="33"/>
    </row>
    <row r="3" spans="1:8" ht="28" x14ac:dyDescent="0.2">
      <c r="A3" s="26" t="s">
        <v>34</v>
      </c>
      <c r="B3" s="22" t="s">
        <v>41</v>
      </c>
      <c r="C3" s="22" t="s">
        <v>36</v>
      </c>
      <c r="D3" s="22" t="s">
        <v>37</v>
      </c>
      <c r="E3" s="22" t="s">
        <v>42</v>
      </c>
      <c r="F3" s="33" t="s">
        <v>43</v>
      </c>
      <c r="G3" s="33" t="s">
        <v>44</v>
      </c>
      <c r="H3" s="33"/>
    </row>
    <row r="4" spans="1:8" x14ac:dyDescent="0.2">
      <c r="A4" s="26" t="s">
        <v>34</v>
      </c>
      <c r="B4" s="26" t="s">
        <v>45</v>
      </c>
      <c r="C4" s="26" t="s">
        <v>46</v>
      </c>
      <c r="D4" s="26" t="s">
        <v>47</v>
      </c>
      <c r="E4" s="26" t="s">
        <v>48</v>
      </c>
      <c r="F4" s="33"/>
      <c r="G4" s="33"/>
      <c r="H4" s="33"/>
    </row>
    <row r="5" spans="1:8" x14ac:dyDescent="0.2">
      <c r="A5" s="27" t="s">
        <v>49</v>
      </c>
      <c r="B5" s="21" t="s">
        <v>35</v>
      </c>
      <c r="C5" s="21" t="s">
        <v>36</v>
      </c>
      <c r="D5" s="21" t="s">
        <v>37</v>
      </c>
      <c r="E5" s="21" t="s">
        <v>50</v>
      </c>
      <c r="F5" s="33" t="s">
        <v>51</v>
      </c>
      <c r="G5" s="33" t="s">
        <v>52</v>
      </c>
      <c r="H5" s="33"/>
    </row>
    <row r="6" spans="1:8" x14ac:dyDescent="0.2">
      <c r="A6" s="27" t="s">
        <v>49</v>
      </c>
      <c r="B6" s="23" t="s">
        <v>41</v>
      </c>
      <c r="C6" s="23" t="s">
        <v>36</v>
      </c>
      <c r="D6" s="23" t="s">
        <v>37</v>
      </c>
      <c r="E6" s="23" t="s">
        <v>53</v>
      </c>
      <c r="F6" s="33"/>
      <c r="G6" s="33" t="s">
        <v>52</v>
      </c>
      <c r="H6" s="33"/>
    </row>
    <row r="7" spans="1:8" x14ac:dyDescent="0.2">
      <c r="A7" s="27" t="s">
        <v>49</v>
      </c>
      <c r="B7" s="34" t="s">
        <v>54</v>
      </c>
      <c r="C7" s="34" t="s">
        <v>46</v>
      </c>
      <c r="D7" s="34" t="s">
        <v>37</v>
      </c>
      <c r="E7" s="34" t="s">
        <v>55</v>
      </c>
      <c r="F7" s="33"/>
      <c r="G7" s="33" t="s">
        <v>56</v>
      </c>
      <c r="H7" s="33"/>
    </row>
    <row r="8" spans="1:8" ht="28" x14ac:dyDescent="0.2">
      <c r="A8" s="27" t="s">
        <v>49</v>
      </c>
      <c r="B8" s="27" t="s">
        <v>57</v>
      </c>
      <c r="C8" s="27" t="s">
        <v>36</v>
      </c>
      <c r="D8" s="27" t="s">
        <v>37</v>
      </c>
      <c r="E8" s="27" t="s">
        <v>58</v>
      </c>
      <c r="F8" s="33" t="s">
        <v>59</v>
      </c>
      <c r="G8" s="33"/>
      <c r="H8" s="33"/>
    </row>
    <row r="9" spans="1:8" ht="28" x14ac:dyDescent="0.2">
      <c r="A9" s="27" t="s">
        <v>49</v>
      </c>
      <c r="B9" s="27" t="s">
        <v>60</v>
      </c>
      <c r="C9" s="27" t="s">
        <v>46</v>
      </c>
      <c r="D9" s="27" t="s">
        <v>47</v>
      </c>
      <c r="E9" s="27" t="s">
        <v>61</v>
      </c>
      <c r="F9" s="33"/>
      <c r="G9" s="33"/>
      <c r="H9" s="33" t="s">
        <v>62</v>
      </c>
    </row>
    <row r="10" spans="1:8" ht="28" x14ac:dyDescent="0.2">
      <c r="A10" s="27" t="s">
        <v>49</v>
      </c>
      <c r="B10" s="27" t="s">
        <v>63</v>
      </c>
      <c r="C10" s="27" t="s">
        <v>46</v>
      </c>
      <c r="D10" s="27" t="s">
        <v>64</v>
      </c>
      <c r="E10" s="27" t="s">
        <v>65</v>
      </c>
      <c r="F10" s="33" t="s">
        <v>66</v>
      </c>
      <c r="G10" s="33"/>
      <c r="H10" s="33"/>
    </row>
    <row r="11" spans="1:8" x14ac:dyDescent="0.2">
      <c r="A11" s="28" t="s">
        <v>67</v>
      </c>
      <c r="B11" s="28" t="s">
        <v>68</v>
      </c>
      <c r="C11" s="28" t="s">
        <v>46</v>
      </c>
      <c r="D11" s="28" t="s">
        <v>37</v>
      </c>
      <c r="E11" s="28" t="s">
        <v>69</v>
      </c>
      <c r="F11" s="33"/>
      <c r="G11" s="33" t="s">
        <v>56</v>
      </c>
      <c r="H11" s="33"/>
    </row>
    <row r="12" spans="1:8" x14ac:dyDescent="0.2">
      <c r="A12" s="28" t="s">
        <v>67</v>
      </c>
      <c r="B12" s="20" t="s">
        <v>35</v>
      </c>
      <c r="C12" s="20" t="s">
        <v>36</v>
      </c>
      <c r="D12" s="20" t="s">
        <v>37</v>
      </c>
      <c r="E12" s="20" t="s">
        <v>70</v>
      </c>
      <c r="F12" s="33" t="s">
        <v>51</v>
      </c>
      <c r="G12" s="33" t="s">
        <v>52</v>
      </c>
      <c r="H12" s="33"/>
    </row>
    <row r="13" spans="1:8" x14ac:dyDescent="0.2">
      <c r="A13" s="28" t="s">
        <v>67</v>
      </c>
      <c r="B13" s="22" t="s">
        <v>41</v>
      </c>
      <c r="C13" s="22" t="s">
        <v>36</v>
      </c>
      <c r="D13" s="22" t="s">
        <v>37</v>
      </c>
      <c r="E13" s="22" t="s">
        <v>71</v>
      </c>
      <c r="F13" s="33"/>
      <c r="G13" s="33" t="s">
        <v>52</v>
      </c>
      <c r="H13" s="33"/>
    </row>
    <row r="14" spans="1:8" x14ac:dyDescent="0.2">
      <c r="A14" s="28" t="s">
        <v>67</v>
      </c>
      <c r="B14" s="28" t="s">
        <v>72</v>
      </c>
      <c r="C14" s="28" t="s">
        <v>36</v>
      </c>
      <c r="D14" s="28" t="s">
        <v>37</v>
      </c>
      <c r="E14" s="28" t="s">
        <v>73</v>
      </c>
      <c r="F14" s="33" t="s">
        <v>74</v>
      </c>
      <c r="G14" s="33"/>
      <c r="H14" s="33"/>
    </row>
    <row r="15" spans="1:8" x14ac:dyDescent="0.2">
      <c r="A15" s="28" t="s">
        <v>67</v>
      </c>
      <c r="B15" s="28" t="s">
        <v>75</v>
      </c>
      <c r="C15" s="28" t="s">
        <v>46</v>
      </c>
      <c r="D15" s="28" t="s">
        <v>76</v>
      </c>
      <c r="E15" s="28" t="s">
        <v>77</v>
      </c>
      <c r="F15" s="33"/>
      <c r="G15" s="33"/>
      <c r="H15" s="33" t="s">
        <v>78</v>
      </c>
    </row>
    <row r="16" spans="1:8" x14ac:dyDescent="0.2">
      <c r="A16" s="28" t="s">
        <v>67</v>
      </c>
      <c r="B16" s="28" t="s">
        <v>79</v>
      </c>
      <c r="C16" s="28" t="s">
        <v>46</v>
      </c>
      <c r="D16" s="28" t="s">
        <v>76</v>
      </c>
      <c r="E16" s="28" t="s">
        <v>80</v>
      </c>
      <c r="F16" s="33"/>
      <c r="G16" s="33"/>
      <c r="H16" s="33" t="s">
        <v>78</v>
      </c>
    </row>
    <row r="17" spans="1:8" ht="28" x14ac:dyDescent="0.2">
      <c r="A17" s="29" t="s">
        <v>81</v>
      </c>
      <c r="B17" s="21" t="s">
        <v>35</v>
      </c>
      <c r="C17" s="21" t="s">
        <v>36</v>
      </c>
      <c r="D17" s="21" t="s">
        <v>37</v>
      </c>
      <c r="E17" s="21" t="s">
        <v>82</v>
      </c>
      <c r="F17" s="33" t="s">
        <v>51</v>
      </c>
      <c r="G17" s="33" t="s">
        <v>83</v>
      </c>
      <c r="H17" s="33"/>
    </row>
    <row r="18" spans="1:8" ht="28" x14ac:dyDescent="0.2">
      <c r="A18" s="29" t="s">
        <v>81</v>
      </c>
      <c r="B18" s="23" t="s">
        <v>41</v>
      </c>
      <c r="C18" s="23" t="s">
        <v>36</v>
      </c>
      <c r="D18" s="23" t="s">
        <v>37</v>
      </c>
      <c r="E18" s="23" t="s">
        <v>84</v>
      </c>
      <c r="F18" s="33"/>
      <c r="G18" s="33" t="s">
        <v>85</v>
      </c>
      <c r="H18" s="33"/>
    </row>
    <row r="19" spans="1:8" x14ac:dyDescent="0.2">
      <c r="A19" s="29" t="s">
        <v>81</v>
      </c>
      <c r="B19" s="24" t="s">
        <v>86</v>
      </c>
      <c r="C19" s="24" t="s">
        <v>46</v>
      </c>
      <c r="D19" s="24" t="s">
        <v>37</v>
      </c>
      <c r="E19" s="24" t="s">
        <v>87</v>
      </c>
      <c r="F19" s="33"/>
      <c r="G19" s="33" t="s">
        <v>85</v>
      </c>
      <c r="H19" s="33"/>
    </row>
    <row r="20" spans="1:8" x14ac:dyDescent="0.2">
      <c r="A20" s="29" t="s">
        <v>81</v>
      </c>
      <c r="B20" s="29" t="s">
        <v>88</v>
      </c>
      <c r="C20" s="29" t="s">
        <v>36</v>
      </c>
      <c r="D20" s="29" t="s">
        <v>37</v>
      </c>
      <c r="E20" s="29" t="s">
        <v>89</v>
      </c>
      <c r="F20" s="33" t="s">
        <v>90</v>
      </c>
      <c r="G20" s="33"/>
      <c r="H20" s="33"/>
    </row>
    <row r="21" spans="1:8" ht="28" x14ac:dyDescent="0.2">
      <c r="A21" s="29" t="s">
        <v>81</v>
      </c>
      <c r="B21" s="29" t="s">
        <v>91</v>
      </c>
      <c r="C21" s="29" t="s">
        <v>36</v>
      </c>
      <c r="D21" s="29" t="s">
        <v>37</v>
      </c>
      <c r="E21" s="29" t="s">
        <v>92</v>
      </c>
      <c r="F21" s="33" t="s">
        <v>93</v>
      </c>
      <c r="G21" s="33"/>
      <c r="H21" s="33"/>
    </row>
    <row r="22" spans="1:8" x14ac:dyDescent="0.2">
      <c r="A22" s="29" t="s">
        <v>81</v>
      </c>
      <c r="B22" s="29" t="s">
        <v>94</v>
      </c>
      <c r="C22" s="29" t="s">
        <v>36</v>
      </c>
      <c r="D22" s="29" t="s">
        <v>37</v>
      </c>
      <c r="E22" s="29" t="s">
        <v>95</v>
      </c>
      <c r="F22" s="33" t="s">
        <v>74</v>
      </c>
      <c r="G22" s="33"/>
      <c r="H22" s="33"/>
    </row>
    <row r="23" spans="1:8" ht="28" x14ac:dyDescent="0.2">
      <c r="A23" s="29" t="s">
        <v>81</v>
      </c>
      <c r="B23" s="29" t="s">
        <v>96</v>
      </c>
      <c r="C23" s="29" t="s">
        <v>97</v>
      </c>
      <c r="D23" s="29" t="s">
        <v>37</v>
      </c>
      <c r="E23" s="29" t="s">
        <v>98</v>
      </c>
      <c r="F23" s="33" t="s">
        <v>99</v>
      </c>
      <c r="G23" s="33"/>
      <c r="H23" s="33" t="s">
        <v>100</v>
      </c>
    </row>
    <row r="24" spans="1:8" x14ac:dyDescent="0.2">
      <c r="A24" s="29" t="s">
        <v>81</v>
      </c>
      <c r="B24" s="29" t="s">
        <v>101</v>
      </c>
      <c r="C24" s="29" t="s">
        <v>97</v>
      </c>
      <c r="D24" s="29" t="s">
        <v>37</v>
      </c>
      <c r="E24" s="29" t="s">
        <v>102</v>
      </c>
      <c r="F24" s="33" t="s">
        <v>103</v>
      </c>
      <c r="G24" s="33"/>
      <c r="H24" s="33"/>
    </row>
    <row r="25" spans="1:8" x14ac:dyDescent="0.2">
      <c r="A25" s="29" t="s">
        <v>81</v>
      </c>
      <c r="B25" s="29" t="s">
        <v>104</v>
      </c>
      <c r="C25" s="29" t="s">
        <v>46</v>
      </c>
      <c r="D25" s="29" t="s">
        <v>19</v>
      </c>
      <c r="E25" s="29" t="s">
        <v>105</v>
      </c>
      <c r="F25" s="33" t="s">
        <v>106</v>
      </c>
      <c r="G25" s="33"/>
      <c r="H25" s="33"/>
    </row>
    <row r="26" spans="1:8" x14ac:dyDescent="0.2">
      <c r="A26" s="29" t="s">
        <v>81</v>
      </c>
      <c r="B26" s="29" t="s">
        <v>107</v>
      </c>
      <c r="C26" s="29" t="s">
        <v>46</v>
      </c>
      <c r="D26" s="29" t="s">
        <v>108</v>
      </c>
      <c r="E26" s="29" t="s">
        <v>109</v>
      </c>
      <c r="F26" s="33"/>
      <c r="G26" s="33"/>
      <c r="H26" s="33"/>
    </row>
    <row r="27" spans="1:8" x14ac:dyDescent="0.2">
      <c r="A27" s="29" t="s">
        <v>81</v>
      </c>
      <c r="B27" s="29" t="s">
        <v>110</v>
      </c>
      <c r="C27" s="29" t="s">
        <v>36</v>
      </c>
      <c r="D27" s="29" t="s">
        <v>37</v>
      </c>
      <c r="E27" s="29" t="s">
        <v>111</v>
      </c>
      <c r="F27" s="33" t="s">
        <v>112</v>
      </c>
      <c r="G27" s="33"/>
      <c r="H27" s="33"/>
    </row>
    <row r="28" spans="1:8" x14ac:dyDescent="0.2">
      <c r="A28" s="29" t="s">
        <v>81</v>
      </c>
      <c r="B28" s="29" t="s">
        <v>113</v>
      </c>
      <c r="C28" s="29" t="s">
        <v>36</v>
      </c>
      <c r="D28" s="29" t="s">
        <v>37</v>
      </c>
      <c r="E28" s="29" t="s">
        <v>114</v>
      </c>
      <c r="F28" s="33" t="s">
        <v>115</v>
      </c>
      <c r="G28" s="33" t="s">
        <v>116</v>
      </c>
      <c r="H28" s="33"/>
    </row>
    <row r="29" spans="1:8" x14ac:dyDescent="0.2">
      <c r="A29" s="30" t="s">
        <v>117</v>
      </c>
      <c r="B29" s="20" t="s">
        <v>35</v>
      </c>
      <c r="C29" s="20" t="s">
        <v>36</v>
      </c>
      <c r="D29" s="20" t="s">
        <v>37</v>
      </c>
      <c r="E29" s="20" t="s">
        <v>118</v>
      </c>
      <c r="F29" s="33" t="s">
        <v>51</v>
      </c>
      <c r="G29" s="33" t="s">
        <v>85</v>
      </c>
      <c r="H29" s="33"/>
    </row>
    <row r="30" spans="1:8" x14ac:dyDescent="0.2">
      <c r="A30" s="30" t="s">
        <v>117</v>
      </c>
      <c r="B30" s="22" t="s">
        <v>41</v>
      </c>
      <c r="C30" s="22" t="s">
        <v>36</v>
      </c>
      <c r="D30" s="22" t="s">
        <v>37</v>
      </c>
      <c r="E30" s="22" t="s">
        <v>119</v>
      </c>
      <c r="F30" s="33"/>
      <c r="G30" s="33" t="s">
        <v>85</v>
      </c>
      <c r="H30" s="33"/>
    </row>
    <row r="31" spans="1:8" x14ac:dyDescent="0.2">
      <c r="A31" s="30" t="s">
        <v>117</v>
      </c>
      <c r="B31" s="25" t="s">
        <v>86</v>
      </c>
      <c r="C31" s="25" t="s">
        <v>46</v>
      </c>
      <c r="D31" s="25" t="s">
        <v>37</v>
      </c>
      <c r="E31" s="25" t="s">
        <v>87</v>
      </c>
      <c r="F31" s="33"/>
      <c r="G31" s="33" t="s">
        <v>85</v>
      </c>
      <c r="H31" s="33"/>
    </row>
    <row r="32" spans="1:8" ht="28" x14ac:dyDescent="0.2">
      <c r="A32" s="30" t="s">
        <v>117</v>
      </c>
      <c r="B32" s="30" t="s">
        <v>120</v>
      </c>
      <c r="C32" s="30" t="s">
        <v>46</v>
      </c>
      <c r="D32" s="30" t="s">
        <v>47</v>
      </c>
      <c r="E32" s="30" t="s">
        <v>121</v>
      </c>
      <c r="F32" s="33" t="s">
        <v>122</v>
      </c>
      <c r="G32" s="33"/>
      <c r="H32" s="33" t="s">
        <v>123</v>
      </c>
    </row>
    <row r="33" spans="1:8" ht="42" x14ac:dyDescent="0.2">
      <c r="A33" s="30" t="s">
        <v>117</v>
      </c>
      <c r="B33" s="30" t="s">
        <v>124</v>
      </c>
      <c r="C33" s="30" t="s">
        <v>46</v>
      </c>
      <c r="D33" s="30" t="s">
        <v>47</v>
      </c>
      <c r="E33" s="30" t="s">
        <v>125</v>
      </c>
      <c r="F33" s="33"/>
      <c r="G33" s="33"/>
      <c r="H33" s="33" t="s">
        <v>126</v>
      </c>
    </row>
    <row r="34" spans="1:8" x14ac:dyDescent="0.2">
      <c r="A34" s="31" t="s">
        <v>127</v>
      </c>
      <c r="B34" s="34" t="s">
        <v>54</v>
      </c>
      <c r="C34" s="34" t="s">
        <v>46</v>
      </c>
      <c r="D34" s="34" t="s">
        <v>37</v>
      </c>
      <c r="E34" s="34" t="s">
        <v>55</v>
      </c>
      <c r="F34" s="33"/>
      <c r="G34" s="33" t="s">
        <v>128</v>
      </c>
      <c r="H34" s="33"/>
    </row>
    <row r="35" spans="1:8" x14ac:dyDescent="0.2">
      <c r="A35" s="31" t="s">
        <v>127</v>
      </c>
      <c r="B35" s="24" t="s">
        <v>86</v>
      </c>
      <c r="C35" s="24" t="s">
        <v>46</v>
      </c>
      <c r="D35" s="24" t="s">
        <v>37</v>
      </c>
      <c r="E35" s="24" t="s">
        <v>87</v>
      </c>
      <c r="F35" s="33"/>
      <c r="G35" s="33" t="s">
        <v>129</v>
      </c>
      <c r="H35" s="33"/>
    </row>
    <row r="36" spans="1:8" x14ac:dyDescent="0.2">
      <c r="A36" s="31" t="s">
        <v>127</v>
      </c>
      <c r="B36" s="31" t="s">
        <v>130</v>
      </c>
      <c r="C36" s="31" t="s">
        <v>46</v>
      </c>
      <c r="D36" s="31" t="s">
        <v>47</v>
      </c>
      <c r="E36" s="31" t="s">
        <v>131</v>
      </c>
      <c r="F36" s="33"/>
      <c r="G36" s="33"/>
      <c r="H36" s="33"/>
    </row>
    <row r="37" spans="1:8" ht="28" x14ac:dyDescent="0.2">
      <c r="A37" s="31" t="s">
        <v>127</v>
      </c>
      <c r="B37" s="31" t="s">
        <v>132</v>
      </c>
      <c r="C37" s="31" t="s">
        <v>133</v>
      </c>
      <c r="D37" s="31" t="s">
        <v>37</v>
      </c>
      <c r="E37" s="31" t="s">
        <v>134</v>
      </c>
      <c r="F37" s="33" t="s">
        <v>135</v>
      </c>
      <c r="G37" s="33"/>
      <c r="H37" s="33"/>
    </row>
    <row r="38" spans="1:8" x14ac:dyDescent="0.2">
      <c r="A38" s="31" t="s">
        <v>127</v>
      </c>
      <c r="B38" s="31" t="s">
        <v>136</v>
      </c>
      <c r="C38" s="31" t="s">
        <v>46</v>
      </c>
      <c r="D38" s="31" t="s">
        <v>137</v>
      </c>
      <c r="E38" s="31" t="s">
        <v>138</v>
      </c>
      <c r="F38" s="33" t="s">
        <v>139</v>
      </c>
      <c r="G38" s="33"/>
      <c r="H38" s="33" t="s">
        <v>123</v>
      </c>
    </row>
    <row r="39" spans="1:8" x14ac:dyDescent="0.2">
      <c r="A39" s="32" t="s">
        <v>140</v>
      </c>
      <c r="B39" s="20" t="s">
        <v>35</v>
      </c>
      <c r="C39" s="20" t="s">
        <v>36</v>
      </c>
      <c r="D39" s="20" t="s">
        <v>37</v>
      </c>
      <c r="E39" s="20" t="s">
        <v>118</v>
      </c>
      <c r="F39" s="33" t="s">
        <v>51</v>
      </c>
      <c r="G39" s="33" t="s">
        <v>52</v>
      </c>
      <c r="H39" s="33"/>
    </row>
    <row r="40" spans="1:8" x14ac:dyDescent="0.2">
      <c r="A40" s="32" t="s">
        <v>140</v>
      </c>
      <c r="B40" s="22" t="s">
        <v>41</v>
      </c>
      <c r="C40" s="22" t="s">
        <v>36</v>
      </c>
      <c r="D40" s="22" t="s">
        <v>37</v>
      </c>
      <c r="E40" s="22" t="s">
        <v>141</v>
      </c>
      <c r="F40" s="33"/>
      <c r="G40" s="33" t="s">
        <v>52</v>
      </c>
      <c r="H40" s="33"/>
    </row>
    <row r="41" spans="1:8" x14ac:dyDescent="0.2">
      <c r="A41" s="32" t="s">
        <v>140</v>
      </c>
      <c r="B41" s="25" t="s">
        <v>86</v>
      </c>
      <c r="C41" s="25" t="s">
        <v>46</v>
      </c>
      <c r="D41" s="25" t="s">
        <v>37</v>
      </c>
      <c r="E41" s="25" t="s">
        <v>87</v>
      </c>
      <c r="F41" s="33"/>
      <c r="G41" s="33" t="s">
        <v>129</v>
      </c>
      <c r="H41" s="33"/>
    </row>
    <row r="42" spans="1:8" x14ac:dyDescent="0.2">
      <c r="A42" s="32" t="s">
        <v>140</v>
      </c>
      <c r="B42" s="32" t="s">
        <v>68</v>
      </c>
      <c r="C42" s="32" t="s">
        <v>46</v>
      </c>
      <c r="D42" s="32" t="s">
        <v>37</v>
      </c>
      <c r="E42" s="32" t="s">
        <v>142</v>
      </c>
      <c r="F42" s="33"/>
      <c r="G42" s="33" t="s">
        <v>143</v>
      </c>
      <c r="H42" s="33"/>
    </row>
    <row r="43" spans="1:8" ht="28" x14ac:dyDescent="0.2">
      <c r="A43" s="32" t="s">
        <v>140</v>
      </c>
      <c r="B43" s="32" t="s">
        <v>60</v>
      </c>
      <c r="C43" s="32" t="s">
        <v>46</v>
      </c>
      <c r="D43" s="32" t="s">
        <v>47</v>
      </c>
      <c r="E43" s="32" t="s">
        <v>144</v>
      </c>
      <c r="F43" s="33"/>
      <c r="G43" s="33"/>
      <c r="H43" s="33"/>
    </row>
    <row r="44" spans="1:8" x14ac:dyDescent="0.2">
      <c r="A44" s="32" t="s">
        <v>140</v>
      </c>
      <c r="B44" s="32" t="s">
        <v>145</v>
      </c>
      <c r="C44" s="32" t="s">
        <v>46</v>
      </c>
      <c r="D44" s="32" t="s">
        <v>146</v>
      </c>
      <c r="E44" s="32" t="s">
        <v>147</v>
      </c>
      <c r="F44" s="33" t="s">
        <v>148</v>
      </c>
      <c r="G44" s="33"/>
      <c r="H44" s="33"/>
    </row>
  </sheetData>
  <autoFilter ref="A1:H44"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9"/>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22" customWidth="1"/>
    <col min="2" max="2" width="30" customWidth="1"/>
    <col min="3" max="3" width="55" customWidth="1"/>
  </cols>
  <sheetData>
    <row r="1" spans="1:3" x14ac:dyDescent="0.2">
      <c r="A1" s="9" t="s">
        <v>28</v>
      </c>
      <c r="B1" s="9" t="s">
        <v>149</v>
      </c>
      <c r="C1" s="9" t="s">
        <v>150</v>
      </c>
    </row>
    <row r="2" spans="1:3" x14ac:dyDescent="0.2">
      <c r="A2" s="10" t="s">
        <v>35</v>
      </c>
      <c r="B2" s="10" t="s">
        <v>151</v>
      </c>
      <c r="C2" s="10" t="s">
        <v>152</v>
      </c>
    </row>
    <row r="3" spans="1:3" x14ac:dyDescent="0.2">
      <c r="A3" s="10" t="s">
        <v>35</v>
      </c>
      <c r="B3" s="10" t="s">
        <v>153</v>
      </c>
      <c r="C3" s="10" t="s">
        <v>154</v>
      </c>
    </row>
    <row r="4" spans="1:3" x14ac:dyDescent="0.2">
      <c r="A4" s="10" t="s">
        <v>35</v>
      </c>
      <c r="B4" s="10" t="s">
        <v>155</v>
      </c>
      <c r="C4" s="10" t="s">
        <v>156</v>
      </c>
    </row>
    <row r="5" spans="1:3" x14ac:dyDescent="0.2">
      <c r="A5" s="10" t="s">
        <v>35</v>
      </c>
      <c r="B5" s="10" t="s">
        <v>157</v>
      </c>
      <c r="C5" s="10" t="s">
        <v>158</v>
      </c>
    </row>
    <row r="6" spans="1:3" x14ac:dyDescent="0.2">
      <c r="A6" s="10" t="s">
        <v>35</v>
      </c>
      <c r="B6" s="10" t="s">
        <v>159</v>
      </c>
      <c r="C6" s="10" t="s">
        <v>160</v>
      </c>
    </row>
    <row r="7" spans="1:3" x14ac:dyDescent="0.2">
      <c r="A7" s="10" t="s">
        <v>35</v>
      </c>
      <c r="B7" s="10" t="s">
        <v>161</v>
      </c>
      <c r="C7" s="10" t="s">
        <v>162</v>
      </c>
    </row>
    <row r="8" spans="1:3" x14ac:dyDescent="0.2">
      <c r="A8" s="10" t="s">
        <v>35</v>
      </c>
      <c r="B8" s="10" t="s">
        <v>163</v>
      </c>
      <c r="C8" s="10" t="s">
        <v>164</v>
      </c>
    </row>
    <row r="9" spans="1:3" x14ac:dyDescent="0.2">
      <c r="A9" s="11" t="s">
        <v>41</v>
      </c>
      <c r="B9" s="11" t="s">
        <v>165</v>
      </c>
      <c r="C9" s="11" t="s">
        <v>166</v>
      </c>
    </row>
    <row r="10" spans="1:3" x14ac:dyDescent="0.2">
      <c r="A10" s="11" t="s">
        <v>41</v>
      </c>
      <c r="B10" s="11" t="s">
        <v>167</v>
      </c>
      <c r="C10" s="11" t="s">
        <v>168</v>
      </c>
    </row>
    <row r="11" spans="1:3" x14ac:dyDescent="0.2">
      <c r="A11" s="11" t="s">
        <v>41</v>
      </c>
      <c r="B11" s="11" t="s">
        <v>169</v>
      </c>
      <c r="C11" s="11" t="s">
        <v>170</v>
      </c>
    </row>
    <row r="12" spans="1:3" x14ac:dyDescent="0.2">
      <c r="A12" s="11" t="s">
        <v>41</v>
      </c>
      <c r="B12" s="11" t="s">
        <v>171</v>
      </c>
      <c r="C12" s="11" t="s">
        <v>172</v>
      </c>
    </row>
    <row r="13" spans="1:3" x14ac:dyDescent="0.2">
      <c r="A13" s="10" t="s">
        <v>57</v>
      </c>
      <c r="B13" s="10" t="s">
        <v>173</v>
      </c>
      <c r="C13" s="10" t="s">
        <v>174</v>
      </c>
    </row>
    <row r="14" spans="1:3" x14ac:dyDescent="0.2">
      <c r="A14" s="10" t="s">
        <v>57</v>
      </c>
      <c r="B14" s="10" t="s">
        <v>175</v>
      </c>
      <c r="C14" s="10" t="s">
        <v>176</v>
      </c>
    </row>
    <row r="15" spans="1:3" x14ac:dyDescent="0.2">
      <c r="A15" s="10" t="s">
        <v>57</v>
      </c>
      <c r="B15" s="10" t="s">
        <v>177</v>
      </c>
      <c r="C15" s="10" t="s">
        <v>178</v>
      </c>
    </row>
    <row r="16" spans="1:3" x14ac:dyDescent="0.2">
      <c r="A16" s="11" t="s">
        <v>88</v>
      </c>
      <c r="B16" s="11" t="s">
        <v>179</v>
      </c>
      <c r="C16" s="11" t="s">
        <v>180</v>
      </c>
    </row>
    <row r="17" spans="1:3" x14ac:dyDescent="0.2">
      <c r="A17" s="11" t="s">
        <v>88</v>
      </c>
      <c r="B17" s="11" t="s">
        <v>181</v>
      </c>
      <c r="C17" s="11" t="s">
        <v>182</v>
      </c>
    </row>
    <row r="18" spans="1:3" x14ac:dyDescent="0.2">
      <c r="A18" s="10" t="s">
        <v>91</v>
      </c>
      <c r="B18" s="10" t="s">
        <v>183</v>
      </c>
      <c r="C18" s="10"/>
    </row>
    <row r="19" spans="1:3" x14ac:dyDescent="0.2">
      <c r="A19" s="10" t="s">
        <v>91</v>
      </c>
      <c r="B19" s="10" t="s">
        <v>184</v>
      </c>
      <c r="C19" s="10"/>
    </row>
    <row r="20" spans="1:3" x14ac:dyDescent="0.2">
      <c r="A20" s="10" t="s">
        <v>91</v>
      </c>
      <c r="B20" s="10" t="s">
        <v>185</v>
      </c>
      <c r="C20" s="10"/>
    </row>
    <row r="21" spans="1:3" x14ac:dyDescent="0.2">
      <c r="A21" s="10" t="s">
        <v>91</v>
      </c>
      <c r="B21" s="10" t="s">
        <v>186</v>
      </c>
      <c r="C21" s="10"/>
    </row>
    <row r="22" spans="1:3" x14ac:dyDescent="0.2">
      <c r="A22" s="10" t="s">
        <v>91</v>
      </c>
      <c r="B22" s="10" t="s">
        <v>187</v>
      </c>
      <c r="C22" s="10"/>
    </row>
    <row r="23" spans="1:3" x14ac:dyDescent="0.2">
      <c r="A23" s="10" t="s">
        <v>91</v>
      </c>
      <c r="B23" s="10" t="s">
        <v>188</v>
      </c>
      <c r="C23" s="10"/>
    </row>
    <row r="24" spans="1:3" x14ac:dyDescent="0.2">
      <c r="A24" s="10" t="s">
        <v>91</v>
      </c>
      <c r="B24" s="10" t="s">
        <v>189</v>
      </c>
      <c r="C24" s="10"/>
    </row>
    <row r="25" spans="1:3" x14ac:dyDescent="0.2">
      <c r="A25" s="10" t="s">
        <v>91</v>
      </c>
      <c r="B25" s="10" t="s">
        <v>190</v>
      </c>
      <c r="C25" s="10"/>
    </row>
    <row r="26" spans="1:3" x14ac:dyDescent="0.2">
      <c r="A26" s="10" t="s">
        <v>91</v>
      </c>
      <c r="B26" s="10" t="s">
        <v>191</v>
      </c>
      <c r="C26" s="10"/>
    </row>
    <row r="27" spans="1:3" x14ac:dyDescent="0.2">
      <c r="A27" s="10" t="s">
        <v>91</v>
      </c>
      <c r="B27" s="10" t="s">
        <v>192</v>
      </c>
      <c r="C27" s="10"/>
    </row>
    <row r="28" spans="1:3" x14ac:dyDescent="0.2">
      <c r="A28" s="10" t="s">
        <v>91</v>
      </c>
      <c r="B28" s="10" t="s">
        <v>193</v>
      </c>
      <c r="C28" s="10"/>
    </row>
    <row r="29" spans="1:3" x14ac:dyDescent="0.2">
      <c r="A29" s="10" t="s">
        <v>91</v>
      </c>
      <c r="B29" s="10" t="s">
        <v>194</v>
      </c>
      <c r="C29" s="10"/>
    </row>
    <row r="30" spans="1:3" x14ac:dyDescent="0.2">
      <c r="A30" s="10" t="s">
        <v>91</v>
      </c>
      <c r="B30" s="10" t="s">
        <v>195</v>
      </c>
      <c r="C30" s="10"/>
    </row>
    <row r="31" spans="1:3" x14ac:dyDescent="0.2">
      <c r="A31" s="11" t="s">
        <v>94</v>
      </c>
      <c r="B31" s="11" t="s">
        <v>196</v>
      </c>
      <c r="C31" s="11" t="s">
        <v>197</v>
      </c>
    </row>
    <row r="32" spans="1:3" x14ac:dyDescent="0.2">
      <c r="A32" s="11" t="s">
        <v>94</v>
      </c>
      <c r="B32" s="11" t="s">
        <v>198</v>
      </c>
      <c r="C32" s="11" t="s">
        <v>197</v>
      </c>
    </row>
    <row r="33" spans="1:3" x14ac:dyDescent="0.2">
      <c r="A33" s="11" t="s">
        <v>94</v>
      </c>
      <c r="B33" s="11" t="s">
        <v>199</v>
      </c>
      <c r="C33" s="11" t="s">
        <v>197</v>
      </c>
    </row>
    <row r="34" spans="1:3" x14ac:dyDescent="0.2">
      <c r="A34" s="11" t="s">
        <v>94</v>
      </c>
      <c r="B34" s="11" t="s">
        <v>200</v>
      </c>
      <c r="C34" s="11" t="s">
        <v>197</v>
      </c>
    </row>
    <row r="35" spans="1:3" x14ac:dyDescent="0.2">
      <c r="A35" s="11" t="s">
        <v>94</v>
      </c>
      <c r="B35" s="11" t="s">
        <v>201</v>
      </c>
      <c r="C35" s="11" t="s">
        <v>197</v>
      </c>
    </row>
    <row r="36" spans="1:3" x14ac:dyDescent="0.2">
      <c r="A36" s="10" t="s">
        <v>96</v>
      </c>
      <c r="B36" s="10" t="s">
        <v>202</v>
      </c>
      <c r="C36" s="10" t="s">
        <v>203</v>
      </c>
    </row>
    <row r="37" spans="1:3" x14ac:dyDescent="0.2">
      <c r="A37" s="10" t="s">
        <v>96</v>
      </c>
      <c r="B37" s="10" t="s">
        <v>204</v>
      </c>
      <c r="C37" s="10"/>
    </row>
    <row r="38" spans="1:3" x14ac:dyDescent="0.2">
      <c r="A38" s="10" t="s">
        <v>96</v>
      </c>
      <c r="B38" s="10" t="s">
        <v>205</v>
      </c>
      <c r="C38" s="10"/>
    </row>
    <row r="39" spans="1:3" x14ac:dyDescent="0.2">
      <c r="A39" s="10" t="s">
        <v>96</v>
      </c>
      <c r="B39" s="10" t="s">
        <v>206</v>
      </c>
      <c r="C39" s="10"/>
    </row>
    <row r="40" spans="1:3" x14ac:dyDescent="0.2">
      <c r="A40" s="10" t="s">
        <v>96</v>
      </c>
      <c r="B40" s="10" t="s">
        <v>207</v>
      </c>
      <c r="C40" s="10"/>
    </row>
    <row r="41" spans="1:3" x14ac:dyDescent="0.2">
      <c r="A41" s="10" t="s">
        <v>96</v>
      </c>
      <c r="B41" s="10" t="s">
        <v>208</v>
      </c>
      <c r="C41" s="10"/>
    </row>
    <row r="42" spans="1:3" x14ac:dyDescent="0.2">
      <c r="A42" s="10" t="s">
        <v>96</v>
      </c>
      <c r="B42" s="10" t="s">
        <v>209</v>
      </c>
      <c r="C42" s="10"/>
    </row>
    <row r="43" spans="1:3" x14ac:dyDescent="0.2">
      <c r="A43" s="10" t="s">
        <v>96</v>
      </c>
      <c r="B43" s="10" t="s">
        <v>210</v>
      </c>
      <c r="C43" s="10"/>
    </row>
    <row r="44" spans="1:3" x14ac:dyDescent="0.2">
      <c r="A44" s="10" t="s">
        <v>96</v>
      </c>
      <c r="B44" s="10" t="s">
        <v>211</v>
      </c>
      <c r="C44" s="10"/>
    </row>
    <row r="45" spans="1:3" x14ac:dyDescent="0.2">
      <c r="A45" s="10" t="s">
        <v>96</v>
      </c>
      <c r="B45" s="10" t="s">
        <v>212</v>
      </c>
      <c r="C45" s="10" t="s">
        <v>213</v>
      </c>
    </row>
    <row r="46" spans="1:3" x14ac:dyDescent="0.2">
      <c r="A46" s="10" t="s">
        <v>96</v>
      </c>
      <c r="B46" s="10" t="s">
        <v>214</v>
      </c>
      <c r="C46" s="10" t="s">
        <v>215</v>
      </c>
    </row>
    <row r="47" spans="1:3" x14ac:dyDescent="0.2">
      <c r="A47" s="11" t="s">
        <v>101</v>
      </c>
      <c r="B47" s="11" t="s">
        <v>216</v>
      </c>
      <c r="C47" s="11" t="s">
        <v>217</v>
      </c>
    </row>
    <row r="48" spans="1:3" x14ac:dyDescent="0.2">
      <c r="A48" s="11" t="s">
        <v>101</v>
      </c>
      <c r="B48" s="11" t="s">
        <v>218</v>
      </c>
      <c r="C48" s="11" t="s">
        <v>217</v>
      </c>
    </row>
    <row r="49" spans="1:3" x14ac:dyDescent="0.2">
      <c r="A49" s="11" t="s">
        <v>101</v>
      </c>
      <c r="B49" s="11" t="s">
        <v>219</v>
      </c>
      <c r="C49" s="11" t="s">
        <v>217</v>
      </c>
    </row>
    <row r="50" spans="1:3" x14ac:dyDescent="0.2">
      <c r="A50" s="10" t="s">
        <v>110</v>
      </c>
      <c r="B50" s="10" t="s">
        <v>220</v>
      </c>
      <c r="C50" s="10" t="s">
        <v>221</v>
      </c>
    </row>
    <row r="51" spans="1:3" x14ac:dyDescent="0.2">
      <c r="A51" s="10" t="s">
        <v>110</v>
      </c>
      <c r="B51" s="10" t="s">
        <v>222</v>
      </c>
      <c r="C51" s="10" t="s">
        <v>223</v>
      </c>
    </row>
    <row r="52" spans="1:3" x14ac:dyDescent="0.2">
      <c r="A52" s="11" t="s">
        <v>113</v>
      </c>
      <c r="B52" s="11" t="s">
        <v>224</v>
      </c>
      <c r="C52" s="11" t="s">
        <v>225</v>
      </c>
    </row>
    <row r="53" spans="1:3" x14ac:dyDescent="0.2">
      <c r="A53" s="11" t="s">
        <v>113</v>
      </c>
      <c r="B53" s="11" t="s">
        <v>226</v>
      </c>
      <c r="C53" s="11" t="s">
        <v>227</v>
      </c>
    </row>
    <row r="54" spans="1:3" x14ac:dyDescent="0.2">
      <c r="A54" s="11" t="s">
        <v>113</v>
      </c>
      <c r="B54" s="11" t="s">
        <v>228</v>
      </c>
      <c r="C54" s="11" t="s">
        <v>229</v>
      </c>
    </row>
    <row r="55" spans="1:3" x14ac:dyDescent="0.2">
      <c r="A55" s="11" t="s">
        <v>113</v>
      </c>
      <c r="B55" s="11" t="s">
        <v>230</v>
      </c>
      <c r="C55" s="11" t="s">
        <v>231</v>
      </c>
    </row>
    <row r="56" spans="1:3" x14ac:dyDescent="0.2">
      <c r="A56" s="10" t="s">
        <v>132</v>
      </c>
      <c r="B56" s="10">
        <v>0</v>
      </c>
      <c r="C56" s="10" t="s">
        <v>232</v>
      </c>
    </row>
    <row r="57" spans="1:3" x14ac:dyDescent="0.2">
      <c r="A57" s="10" t="s">
        <v>132</v>
      </c>
      <c r="B57" s="10">
        <v>1</v>
      </c>
      <c r="C57" s="10" t="s">
        <v>233</v>
      </c>
    </row>
    <row r="58" spans="1:3" x14ac:dyDescent="0.2">
      <c r="A58" s="11" t="s">
        <v>72</v>
      </c>
      <c r="B58" s="11" t="s">
        <v>234</v>
      </c>
      <c r="C58" s="11" t="s">
        <v>235</v>
      </c>
    </row>
    <row r="59" spans="1:3" x14ac:dyDescent="0.2">
      <c r="A59" s="11" t="s">
        <v>72</v>
      </c>
      <c r="B59" s="11" t="s">
        <v>236</v>
      </c>
      <c r="C59" s="11" t="s">
        <v>235</v>
      </c>
    </row>
    <row r="60" spans="1:3" x14ac:dyDescent="0.2">
      <c r="A60" s="11" t="s">
        <v>72</v>
      </c>
      <c r="B60" s="11" t="s">
        <v>237</v>
      </c>
      <c r="C60" s="11" t="s">
        <v>235</v>
      </c>
    </row>
    <row r="61" spans="1:3" x14ac:dyDescent="0.2">
      <c r="A61" s="11" t="s">
        <v>72</v>
      </c>
      <c r="B61" s="11" t="s">
        <v>238</v>
      </c>
      <c r="C61" s="11" t="s">
        <v>235</v>
      </c>
    </row>
    <row r="62" spans="1:3" x14ac:dyDescent="0.2">
      <c r="A62" s="11" t="s">
        <v>72</v>
      </c>
      <c r="B62" s="11" t="s">
        <v>239</v>
      </c>
      <c r="C62" s="11" t="s">
        <v>235</v>
      </c>
    </row>
    <row r="63" spans="1:3" x14ac:dyDescent="0.2">
      <c r="A63" s="11" t="s">
        <v>72</v>
      </c>
      <c r="B63" s="11" t="s">
        <v>240</v>
      </c>
      <c r="C63" s="11" t="s">
        <v>235</v>
      </c>
    </row>
    <row r="64" spans="1:3" x14ac:dyDescent="0.2">
      <c r="A64" s="11" t="s">
        <v>72</v>
      </c>
      <c r="B64" s="11" t="s">
        <v>241</v>
      </c>
      <c r="C64" s="11" t="s">
        <v>235</v>
      </c>
    </row>
    <row r="65" spans="1:3" x14ac:dyDescent="0.2">
      <c r="A65" s="11" t="s">
        <v>72</v>
      </c>
      <c r="B65" s="11" t="s">
        <v>242</v>
      </c>
      <c r="C65" s="11" t="s">
        <v>235</v>
      </c>
    </row>
    <row r="66" spans="1:3" x14ac:dyDescent="0.2">
      <c r="A66" s="11" t="s">
        <v>72</v>
      </c>
      <c r="B66" s="11" t="s">
        <v>243</v>
      </c>
      <c r="C66" s="11" t="s">
        <v>235</v>
      </c>
    </row>
    <row r="67" spans="1:3" x14ac:dyDescent="0.2">
      <c r="A67" s="11" t="s">
        <v>72</v>
      </c>
      <c r="B67" s="11" t="s">
        <v>244</v>
      </c>
      <c r="C67" s="11" t="s">
        <v>235</v>
      </c>
    </row>
    <row r="68" spans="1:3" x14ac:dyDescent="0.2">
      <c r="A68" s="11" t="s">
        <v>72</v>
      </c>
      <c r="B68" s="11" t="s">
        <v>245</v>
      </c>
      <c r="C68" s="11" t="s">
        <v>235</v>
      </c>
    </row>
    <row r="69" spans="1:3" x14ac:dyDescent="0.2">
      <c r="A69" s="11" t="s">
        <v>72</v>
      </c>
      <c r="B69" s="11" t="s">
        <v>246</v>
      </c>
      <c r="C69" s="11" t="s">
        <v>235</v>
      </c>
    </row>
    <row r="70" spans="1:3" x14ac:dyDescent="0.2">
      <c r="A70" s="11" t="s">
        <v>72</v>
      </c>
      <c r="B70" s="11" t="s">
        <v>247</v>
      </c>
      <c r="C70" s="11" t="s">
        <v>235</v>
      </c>
    </row>
    <row r="71" spans="1:3" x14ac:dyDescent="0.2">
      <c r="A71" s="11" t="s">
        <v>72</v>
      </c>
      <c r="B71" s="11" t="s">
        <v>248</v>
      </c>
      <c r="C71" s="11" t="s">
        <v>235</v>
      </c>
    </row>
    <row r="72" spans="1:3" x14ac:dyDescent="0.2">
      <c r="A72" s="11" t="s">
        <v>72</v>
      </c>
      <c r="B72" s="11" t="s">
        <v>249</v>
      </c>
      <c r="C72" s="11" t="s">
        <v>235</v>
      </c>
    </row>
    <row r="73" spans="1:3" x14ac:dyDescent="0.2">
      <c r="A73" s="11" t="s">
        <v>72</v>
      </c>
      <c r="B73" s="11" t="s">
        <v>250</v>
      </c>
      <c r="C73" s="11" t="s">
        <v>235</v>
      </c>
    </row>
    <row r="74" spans="1:3" x14ac:dyDescent="0.2">
      <c r="A74" s="11" t="s">
        <v>72</v>
      </c>
      <c r="B74" s="11" t="s">
        <v>251</v>
      </c>
      <c r="C74" s="11" t="s">
        <v>235</v>
      </c>
    </row>
    <row r="75" spans="1:3" x14ac:dyDescent="0.2">
      <c r="A75" s="11" t="s">
        <v>72</v>
      </c>
      <c r="B75" s="11" t="s">
        <v>252</v>
      </c>
      <c r="C75" s="11" t="s">
        <v>235</v>
      </c>
    </row>
    <row r="76" spans="1:3" x14ac:dyDescent="0.2">
      <c r="A76" s="11" t="s">
        <v>72</v>
      </c>
      <c r="B76" s="11" t="s">
        <v>253</v>
      </c>
      <c r="C76" s="11" t="s">
        <v>235</v>
      </c>
    </row>
    <row r="77" spans="1:3" x14ac:dyDescent="0.2">
      <c r="A77" s="11" t="s">
        <v>72</v>
      </c>
      <c r="B77" s="11" t="s">
        <v>254</v>
      </c>
      <c r="C77" s="11" t="s">
        <v>235</v>
      </c>
    </row>
    <row r="79" spans="1:3" ht="42" customHeight="1" x14ac:dyDescent="0.2">
      <c r="A79" s="1" t="s">
        <v>255</v>
      </c>
      <c r="B79" s="1"/>
      <c r="C79" s="1"/>
    </row>
  </sheetData>
  <autoFilter ref="A1:C77" xr:uid="{00000000-0009-0000-0000-000002000000}"/>
  <mergeCells count="1">
    <mergeCell ref="A79:C7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24" customWidth="1"/>
    <col min="2" max="2" width="42" customWidth="1"/>
    <col min="3" max="3" width="13" customWidth="1"/>
    <col min="4" max="4" width="40" customWidth="1"/>
    <col min="5" max="5" width="58" customWidth="1"/>
  </cols>
  <sheetData>
    <row r="1" spans="1:5" x14ac:dyDescent="0.2">
      <c r="A1" s="9" t="s">
        <v>256</v>
      </c>
      <c r="B1" s="9" t="s">
        <v>257</v>
      </c>
      <c r="C1" s="9" t="s">
        <v>258</v>
      </c>
      <c r="D1" s="9" t="s">
        <v>259</v>
      </c>
      <c r="E1" s="9" t="s">
        <v>260</v>
      </c>
    </row>
    <row r="2" spans="1:5" x14ac:dyDescent="0.2">
      <c r="A2" s="11" t="s">
        <v>34</v>
      </c>
      <c r="B2" s="11" t="s">
        <v>261</v>
      </c>
      <c r="C2" s="12">
        <v>22</v>
      </c>
      <c r="D2" s="11" t="s">
        <v>262</v>
      </c>
      <c r="E2" s="11" t="s">
        <v>37</v>
      </c>
    </row>
    <row r="3" spans="1:5" x14ac:dyDescent="0.2">
      <c r="A3" s="11" t="s">
        <v>49</v>
      </c>
      <c r="B3" s="11" t="s">
        <v>263</v>
      </c>
      <c r="C3" s="12">
        <v>206</v>
      </c>
      <c r="D3" s="11" t="s">
        <v>54</v>
      </c>
      <c r="E3" s="11" t="s">
        <v>264</v>
      </c>
    </row>
    <row r="4" spans="1:5" x14ac:dyDescent="0.2">
      <c r="A4" s="11" t="s">
        <v>67</v>
      </c>
      <c r="B4" s="11" t="s">
        <v>265</v>
      </c>
      <c r="C4" s="12">
        <v>6364</v>
      </c>
      <c r="D4" s="11" t="s">
        <v>68</v>
      </c>
      <c r="E4" s="11" t="s">
        <v>264</v>
      </c>
    </row>
    <row r="5" spans="1:5" x14ac:dyDescent="0.2">
      <c r="A5" s="11" t="s">
        <v>81</v>
      </c>
      <c r="B5" s="11" t="s">
        <v>266</v>
      </c>
      <c r="C5" s="12">
        <v>32953</v>
      </c>
      <c r="D5" s="11" t="s">
        <v>267</v>
      </c>
      <c r="E5" s="11" t="s">
        <v>264</v>
      </c>
    </row>
    <row r="6" spans="1:5" x14ac:dyDescent="0.2">
      <c r="A6" s="11" t="s">
        <v>117</v>
      </c>
      <c r="B6" s="11" t="s">
        <v>268</v>
      </c>
      <c r="C6" s="12">
        <v>32953</v>
      </c>
      <c r="D6" s="11" t="s">
        <v>267</v>
      </c>
      <c r="E6" s="11" t="s">
        <v>269</v>
      </c>
    </row>
    <row r="7" spans="1:5" x14ac:dyDescent="0.2">
      <c r="A7" s="11" t="s">
        <v>127</v>
      </c>
      <c r="B7" s="11" t="s">
        <v>270</v>
      </c>
      <c r="C7" s="12">
        <v>173912</v>
      </c>
      <c r="D7" s="11" t="s">
        <v>271</v>
      </c>
      <c r="E7" s="11" t="s">
        <v>272</v>
      </c>
    </row>
    <row r="8" spans="1:5" ht="28" x14ac:dyDescent="0.2">
      <c r="A8" s="11" t="s">
        <v>140</v>
      </c>
      <c r="B8" s="11" t="s">
        <v>273</v>
      </c>
      <c r="C8" s="12">
        <v>10655280</v>
      </c>
      <c r="D8" s="11" t="s">
        <v>274</v>
      </c>
      <c r="E8" s="11" t="s">
        <v>275</v>
      </c>
    </row>
    <row r="10" spans="1:5" ht="30" customHeight="1" x14ac:dyDescent="0.2">
      <c r="A10" s="1" t="s">
        <v>276</v>
      </c>
      <c r="B10" s="1"/>
      <c r="C10" s="1"/>
      <c r="D10" s="1"/>
      <c r="E10" s="1"/>
    </row>
  </sheetData>
  <autoFilter ref="A1:E8" xr:uid="{00000000-0009-0000-0000-000003000000}"/>
  <mergeCells count="1">
    <mergeCell ref="A10:E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26" customWidth="1"/>
    <col min="2" max="2" width="12" customWidth="1"/>
    <col min="3" max="3" width="10" customWidth="1"/>
    <col min="4" max="4" width="20" customWidth="1"/>
    <col min="5" max="5" width="30" customWidth="1"/>
  </cols>
  <sheetData>
    <row r="1" spans="1:5" x14ac:dyDescent="0.2">
      <c r="A1" s="9" t="s">
        <v>113</v>
      </c>
      <c r="B1" s="9" t="s">
        <v>19</v>
      </c>
      <c r="C1" s="9" t="s">
        <v>277</v>
      </c>
    </row>
    <row r="2" spans="1:5" x14ac:dyDescent="0.2">
      <c r="A2" s="11" t="s">
        <v>224</v>
      </c>
      <c r="B2" s="12">
        <v>3024</v>
      </c>
      <c r="C2" s="13">
        <f>B2/$B$6</f>
        <v>9.2780658423587889E-2</v>
      </c>
    </row>
    <row r="3" spans="1:5" x14ac:dyDescent="0.2">
      <c r="A3" s="11" t="s">
        <v>228</v>
      </c>
      <c r="B3" s="12">
        <v>7052</v>
      </c>
      <c r="C3" s="13">
        <f>B3/$B$6</f>
        <v>0.21636547724971619</v>
      </c>
    </row>
    <row r="4" spans="1:5" x14ac:dyDescent="0.2">
      <c r="A4" s="11" t="s">
        <v>226</v>
      </c>
      <c r="B4" s="12">
        <v>12361</v>
      </c>
      <c r="C4" s="13">
        <f>B4/$B$6</f>
        <v>0.37925321388028105</v>
      </c>
    </row>
    <row r="5" spans="1:5" x14ac:dyDescent="0.2">
      <c r="A5" s="11" t="s">
        <v>230</v>
      </c>
      <c r="B5" s="12">
        <v>10156</v>
      </c>
      <c r="C5" s="13">
        <f>B5/$B$6</f>
        <v>0.31160065044641488</v>
      </c>
    </row>
    <row r="6" spans="1:5" x14ac:dyDescent="0.2">
      <c r="A6" s="14" t="s">
        <v>278</v>
      </c>
      <c r="B6" s="15">
        <f>SUM(B2:B5)</f>
        <v>32593</v>
      </c>
      <c r="C6" s="16">
        <f>SUM(C2:C5)</f>
        <v>1</v>
      </c>
    </row>
    <row r="8" spans="1:5" x14ac:dyDescent="0.2">
      <c r="A8" s="17" t="s">
        <v>279</v>
      </c>
      <c r="B8" s="18">
        <v>32953</v>
      </c>
    </row>
    <row r="9" spans="1:5" x14ac:dyDescent="0.2">
      <c r="A9" s="17" t="s">
        <v>280</v>
      </c>
      <c r="B9" s="19">
        <f>B8-B6</f>
        <v>360</v>
      </c>
    </row>
    <row r="11" spans="1:5" ht="55.5" customHeight="1" x14ac:dyDescent="0.2">
      <c r="A11" s="1" t="s">
        <v>281</v>
      </c>
      <c r="B11" s="1"/>
      <c r="C11" s="1"/>
      <c r="D11" s="1"/>
      <c r="E11" s="1"/>
    </row>
  </sheetData>
  <mergeCells count="1">
    <mergeCell ref="A11:E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Codebook</vt:lpstr>
      <vt:lpstr>Value Labels</vt:lpstr>
      <vt:lpstr>Tables &amp; Keys</vt:lpstr>
      <vt:lpstr>Class 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Trumshi, Fiona</cp:lastModifiedBy>
  <cp:revision>0</cp:revision>
  <dcterms:created xsi:type="dcterms:W3CDTF">2026-10-16T10:08:47Z</dcterms:created>
  <dcterms:modified xsi:type="dcterms:W3CDTF">2026-10-16T10:21:20Z</dcterms:modified>
  <dc:language>en-US</dc:language>
</cp:coreProperties>
</file>